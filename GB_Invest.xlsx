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briel\Documents\Curso Excel\Projeto - Ferramenta de Controle de Investimentos\"/>
    </mc:Choice>
  </mc:AlternateContent>
  <xr:revisionPtr revIDLastSave="0" documentId="8_{41FBC836-65BB-48A0-84E0-D64D7F03D135}" xr6:coauthVersionLast="47" xr6:coauthVersionMax="47" xr10:uidLastSave="{00000000-0000-0000-0000-000000000000}"/>
  <bookViews>
    <workbookView xWindow="-120" yWindow="-120" windowWidth="29040" windowHeight="15840" xr2:uid="{EC3D9504-839A-4FEE-8DB2-A59CD590DFA6}"/>
  </bookViews>
  <sheets>
    <sheet name="GB Invest" sheetId="1" r:id="rId1"/>
    <sheet name="Tbl_Chaves" sheetId="2" state="hidden" r:id="rId2"/>
  </sheets>
  <definedNames>
    <definedName name="Aporte">'GB Invest'!$D$17</definedName>
    <definedName name="patrimonio">'GB Invest'!$D$20</definedName>
    <definedName name="qtd_anos">'GB Invest'!$D$18</definedName>
    <definedName name="Rendimento_Carteira">'GB Invest'!$D$13</definedName>
    <definedName name="Salario">'GB Invest'!$D$12</definedName>
    <definedName name="sugestao_investimento">'GB Invest'!$D$14</definedName>
    <definedName name="tx_mensal">'GB Invest'!$D$19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1" i="1" l="1"/>
  <c r="C36" i="1"/>
  <c r="D36" i="1" s="1"/>
  <c r="C37" i="1"/>
  <c r="D37" i="1" s="1"/>
  <c r="C38" i="1"/>
  <c r="D38" i="1" s="1"/>
  <c r="C39" i="1"/>
  <c r="D39" i="1" s="1"/>
  <c r="C40" i="1"/>
  <c r="D40" i="1" s="1"/>
  <c r="C35" i="1"/>
  <c r="D35" i="1" s="1"/>
  <c r="A9" i="2"/>
  <c r="A10" i="2"/>
  <c r="A11" i="2"/>
  <c r="A12" i="2"/>
  <c r="A13" i="2"/>
  <c r="A14" i="2"/>
  <c r="A15" i="2"/>
  <c r="A16" i="2"/>
  <c r="A17" i="2"/>
  <c r="A18" i="2"/>
  <c r="A19" i="2"/>
  <c r="A20" i="2"/>
  <c r="A4" i="2"/>
  <c r="A5" i="2"/>
  <c r="A6" i="2"/>
  <c r="A7" i="2"/>
  <c r="A8" i="2"/>
  <c r="A3" i="2"/>
  <c r="C32" i="1"/>
  <c r="C25" i="1"/>
  <c r="D25" i="1" s="1"/>
  <c r="C26" i="1"/>
  <c r="D26" i="1" s="1"/>
  <c r="C27" i="1"/>
  <c r="D27" i="1" s="1"/>
  <c r="C28" i="1"/>
  <c r="D28" i="1" s="1"/>
  <c r="C24" i="1"/>
  <c r="D24" i="1" s="1"/>
  <c r="D20" i="1"/>
  <c r="D21" i="1" s="1"/>
  <c r="D14" i="1"/>
  <c r="D41" i="1" l="1"/>
</calcChain>
</file>

<file path=xl/sharedStrings.xml><?xml version="1.0" encoding="utf-8"?>
<sst xmlns="http://schemas.openxmlformats.org/spreadsheetml/2006/main" count="77" uniqueCount="39">
  <si>
    <t>Quanto Investir por Mês?</t>
  </si>
  <si>
    <t>Por quantos anos?</t>
  </si>
  <si>
    <t>Taxa de rendimento mensal?</t>
  </si>
  <si>
    <t>Patrimônio Acumulado?</t>
  </si>
  <si>
    <t>Dividendos Mensais?</t>
  </si>
  <si>
    <t>CENÁRIOS</t>
  </si>
  <si>
    <t>INVESTIMENTO MENSAL</t>
  </si>
  <si>
    <t>Dividendo</t>
  </si>
  <si>
    <t>Quanto em 2 Anos?</t>
  </si>
  <si>
    <t>Quanto em 5 Anos?</t>
  </si>
  <si>
    <t>Quanto em 10 Anos?</t>
  </si>
  <si>
    <t>Quanto em 20 Anos?</t>
  </si>
  <si>
    <t>Quanto em 30 Anos?</t>
  </si>
  <si>
    <t>Salário</t>
  </si>
  <si>
    <t>Rendimento Carteira</t>
  </si>
  <si>
    <t>CONFIGURAÇÕES</t>
  </si>
  <si>
    <t>Perfil</t>
  </si>
  <si>
    <t>Conservador</t>
  </si>
  <si>
    <t>Moderado</t>
  </si>
  <si>
    <t>Agressivo</t>
  </si>
  <si>
    <t>Valor a ser Investido por Mês</t>
  </si>
  <si>
    <t>PERFIL</t>
  </si>
  <si>
    <t>Tipo de FII</t>
  </si>
  <si>
    <t>Percentual Sugerido</t>
  </si>
  <si>
    <t>Valores</t>
  </si>
  <si>
    <t>PAPEL</t>
  </si>
  <si>
    <t>TIJOLO</t>
  </si>
  <si>
    <t>HÍBRIDOS</t>
  </si>
  <si>
    <t>DESENVOLVIMENTO</t>
  </si>
  <si>
    <t>HOTELARIAS</t>
  </si>
  <si>
    <t>FOFs</t>
  </si>
  <si>
    <t>TIPO DE FII</t>
  </si>
  <si>
    <t>%</t>
  </si>
  <si>
    <t>CHAVE</t>
  </si>
  <si>
    <t>Sugestão de Investimento (30%)</t>
  </si>
  <si>
    <t>Explicação Resumida</t>
  </si>
  <si>
    <t>Foco em segurança e renda fixa; rejeita riscos em troca de estabilidade.</t>
  </si>
  <si>
    <t>Equilíbrio entre segurança e risco; usa renda variável moderada para superar a inflação.</t>
  </si>
  <si>
    <t>Foco em máxima rentabilidade; tolera alta volatilidade e riscos por ganhos maiores.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</si>
</sst>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165" formatCode="0.0%"/>
    <numFmt numFmtId="166" formatCode="&quot;R$&quot;\ #,##0.00"/>
  </numFmts>
  <fonts count="11" x14ac:knownFonts="1"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rgb="FF9C5700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indexed="64"/>
      </right>
      <top/>
      <bottom style="thin">
        <color theme="0" tint="-0.14996795556505021"/>
      </bottom>
      <diagonal/>
    </border>
    <border>
      <left style="medium">
        <color indexed="64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indexed="64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/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 style="medium">
        <color indexed="64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 style="medium">
        <color indexed="64"/>
      </right>
      <top style="thin">
        <color theme="0" tint="-0.14996795556505021"/>
      </top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75">
    <xf numFmtId="0" fontId="0" fillId="0" borderId="0" xfId="0"/>
    <xf numFmtId="0" fontId="0" fillId="0" borderId="3" xfId="0" applyBorder="1"/>
    <xf numFmtId="0" fontId="0" fillId="0" borderId="4" xfId="0" applyBorder="1"/>
    <xf numFmtId="0" fontId="3" fillId="0" borderId="0" xfId="0" applyFont="1"/>
    <xf numFmtId="0" fontId="0" fillId="0" borderId="0" xfId="0" applyAlignment="1">
      <alignment horizontal="center"/>
    </xf>
    <xf numFmtId="9" fontId="0" fillId="0" borderId="0" xfId="0" applyNumberFormat="1"/>
    <xf numFmtId="166" fontId="0" fillId="0" borderId="11" xfId="0" applyNumberFormat="1" applyBorder="1"/>
    <xf numFmtId="0" fontId="6" fillId="0" borderId="0" xfId="0" applyFont="1"/>
    <xf numFmtId="0" fontId="0" fillId="0" borderId="0" xfId="0" applyAlignment="1">
      <alignment horizontal="left"/>
    </xf>
    <xf numFmtId="0" fontId="4" fillId="4" borderId="1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0" fontId="4" fillId="4" borderId="7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4" fillId="5" borderId="7" xfId="0" applyFont="1" applyFill="1" applyBorder="1" applyAlignment="1">
      <alignment horizontal="left" vertical="center"/>
    </xf>
    <xf numFmtId="0" fontId="4" fillId="5" borderId="2" xfId="0" applyFont="1" applyFill="1" applyBorder="1" applyAlignment="1">
      <alignment horizontal="left" vertical="center"/>
    </xf>
    <xf numFmtId="0" fontId="6" fillId="3" borderId="15" xfId="0" applyFont="1" applyFill="1" applyBorder="1" applyAlignment="1">
      <alignment horizontal="left" indent="2"/>
    </xf>
    <xf numFmtId="0" fontId="6" fillId="3" borderId="16" xfId="0" applyFont="1" applyFill="1" applyBorder="1" applyAlignment="1">
      <alignment horizontal="left" indent="2"/>
    </xf>
    <xf numFmtId="166" fontId="0" fillId="0" borderId="17" xfId="0" applyNumberFormat="1" applyBorder="1" applyAlignment="1">
      <alignment horizontal="center"/>
    </xf>
    <xf numFmtId="0" fontId="6" fillId="3" borderId="18" xfId="0" applyFont="1" applyFill="1" applyBorder="1" applyAlignment="1">
      <alignment horizontal="left" indent="2"/>
    </xf>
    <xf numFmtId="0" fontId="6" fillId="3" borderId="19" xfId="0" applyFont="1" applyFill="1" applyBorder="1" applyAlignment="1">
      <alignment horizontal="left" indent="2"/>
    </xf>
    <xf numFmtId="165" fontId="0" fillId="0" borderId="20" xfId="0" applyNumberFormat="1" applyBorder="1" applyAlignment="1">
      <alignment horizontal="center"/>
    </xf>
    <xf numFmtId="0" fontId="6" fillId="3" borderId="21" xfId="0" applyFont="1" applyFill="1" applyBorder="1" applyAlignment="1">
      <alignment horizontal="left" indent="2"/>
    </xf>
    <xf numFmtId="0" fontId="6" fillId="3" borderId="22" xfId="0" applyFont="1" applyFill="1" applyBorder="1" applyAlignment="1">
      <alignment horizontal="left" indent="2"/>
    </xf>
    <xf numFmtId="166" fontId="0" fillId="0" borderId="23" xfId="0" applyNumberFormat="1" applyBorder="1" applyAlignment="1">
      <alignment horizontal="center"/>
    </xf>
    <xf numFmtId="0" fontId="6" fillId="0" borderId="15" xfId="0" applyFont="1" applyBorder="1" applyAlignment="1">
      <alignment horizontal="left" indent="2"/>
    </xf>
    <xf numFmtId="0" fontId="6" fillId="0" borderId="16" xfId="0" applyFont="1" applyBorder="1" applyAlignment="1">
      <alignment horizontal="left" indent="2"/>
    </xf>
    <xf numFmtId="166" fontId="2" fillId="0" borderId="17" xfId="0" applyNumberFormat="1" applyFont="1" applyBorder="1" applyAlignment="1">
      <alignment horizontal="center" vertical="center"/>
    </xf>
    <xf numFmtId="0" fontId="6" fillId="0" borderId="18" xfId="0" applyFont="1" applyBorder="1" applyAlignment="1">
      <alignment horizontal="left" indent="2"/>
    </xf>
    <xf numFmtId="0" fontId="6" fillId="0" borderId="19" xfId="0" applyFont="1" applyBorder="1" applyAlignment="1">
      <alignment horizontal="left" indent="2"/>
    </xf>
    <xf numFmtId="1" fontId="2" fillId="0" borderId="20" xfId="0" applyNumberFormat="1" applyFont="1" applyBorder="1" applyAlignment="1">
      <alignment horizontal="center" vertical="center"/>
    </xf>
    <xf numFmtId="10" fontId="2" fillId="0" borderId="20" xfId="0" applyNumberFormat="1" applyFont="1" applyBorder="1" applyAlignment="1">
      <alignment horizontal="center" vertical="center"/>
    </xf>
    <xf numFmtId="0" fontId="7" fillId="3" borderId="18" xfId="0" applyFont="1" applyFill="1" applyBorder="1" applyAlignment="1">
      <alignment horizontal="left" indent="2"/>
    </xf>
    <xf numFmtId="0" fontId="7" fillId="3" borderId="19" xfId="0" applyFont="1" applyFill="1" applyBorder="1" applyAlignment="1">
      <alignment horizontal="left" indent="2"/>
    </xf>
    <xf numFmtId="8" fontId="2" fillId="3" borderId="20" xfId="0" applyNumberFormat="1" applyFont="1" applyFill="1" applyBorder="1" applyAlignment="1">
      <alignment horizontal="center" vertical="center"/>
    </xf>
    <xf numFmtId="0" fontId="7" fillId="3" borderId="21" xfId="0" applyFont="1" applyFill="1" applyBorder="1" applyAlignment="1">
      <alignment horizontal="left" indent="2"/>
    </xf>
    <xf numFmtId="0" fontId="7" fillId="3" borderId="22" xfId="0" applyFont="1" applyFill="1" applyBorder="1" applyAlignment="1">
      <alignment horizontal="left" indent="2"/>
    </xf>
    <xf numFmtId="8" fontId="2" fillId="3" borderId="23" xfId="0" applyNumberFormat="1" applyFont="1" applyFill="1" applyBorder="1" applyAlignment="1">
      <alignment horizontal="center" vertical="center"/>
    </xf>
    <xf numFmtId="0" fontId="6" fillId="3" borderId="15" xfId="0" applyFont="1" applyFill="1" applyBorder="1" applyAlignment="1">
      <alignment horizontal="left" indent="2"/>
    </xf>
    <xf numFmtId="8" fontId="0" fillId="3" borderId="16" xfId="0" applyNumberFormat="1" applyFill="1" applyBorder="1" applyAlignment="1">
      <alignment horizontal="center"/>
    </xf>
    <xf numFmtId="8" fontId="0" fillId="3" borderId="17" xfId="0" applyNumberFormat="1" applyFill="1" applyBorder="1" applyAlignment="1">
      <alignment horizontal="center"/>
    </xf>
    <xf numFmtId="0" fontId="6" fillId="3" borderId="18" xfId="0" applyFont="1" applyFill="1" applyBorder="1" applyAlignment="1">
      <alignment horizontal="left" indent="2"/>
    </xf>
    <xf numFmtId="8" fontId="0" fillId="3" borderId="19" xfId="0" applyNumberFormat="1" applyFill="1" applyBorder="1" applyAlignment="1">
      <alignment horizontal="center"/>
    </xf>
    <xf numFmtId="8" fontId="0" fillId="3" borderId="20" xfId="0" applyNumberFormat="1" applyFill="1" applyBorder="1" applyAlignment="1">
      <alignment horizontal="center"/>
    </xf>
    <xf numFmtId="0" fontId="6" fillId="3" borderId="21" xfId="0" applyFont="1" applyFill="1" applyBorder="1" applyAlignment="1">
      <alignment horizontal="left" indent="2"/>
    </xf>
    <xf numFmtId="8" fontId="0" fillId="3" borderId="22" xfId="0" applyNumberFormat="1" applyFill="1" applyBorder="1" applyAlignment="1">
      <alignment horizontal="center"/>
    </xf>
    <xf numFmtId="8" fontId="0" fillId="3" borderId="23" xfId="0" applyNumberFormat="1" applyFill="1" applyBorder="1" applyAlignment="1">
      <alignment horizontal="center"/>
    </xf>
    <xf numFmtId="0" fontId="5" fillId="5" borderId="2" xfId="0" applyFont="1" applyFill="1" applyBorder="1" applyAlignment="1">
      <alignment horizontal="center" vertical="center"/>
    </xf>
    <xf numFmtId="0" fontId="0" fillId="0" borderId="8" xfId="0" applyBorder="1"/>
    <xf numFmtId="0" fontId="0" fillId="0" borderId="8" xfId="0" applyBorder="1" applyAlignment="1">
      <alignment horizontal="center"/>
    </xf>
    <xf numFmtId="9" fontId="0" fillId="0" borderId="0" xfId="0" applyNumberFormat="1" applyAlignment="1">
      <alignment horizontal="center"/>
    </xf>
    <xf numFmtId="9" fontId="0" fillId="0" borderId="8" xfId="0" applyNumberFormat="1" applyBorder="1" applyAlignment="1">
      <alignment horizontal="center"/>
    </xf>
    <xf numFmtId="9" fontId="0" fillId="0" borderId="0" xfId="0" applyNumberFormat="1" applyFill="1" applyBorder="1" applyAlignment="1">
      <alignment horizontal="center"/>
    </xf>
    <xf numFmtId="0" fontId="8" fillId="2" borderId="1" xfId="1" applyFont="1" applyBorder="1" applyAlignment="1">
      <alignment horizontal="left"/>
    </xf>
    <xf numFmtId="0" fontId="1" fillId="2" borderId="2" xfId="1" applyBorder="1"/>
    <xf numFmtId="0" fontId="2" fillId="6" borderId="3" xfId="0" applyFont="1" applyFill="1" applyBorder="1"/>
    <xf numFmtId="166" fontId="2" fillId="6" borderId="0" xfId="0" applyNumberFormat="1" applyFont="1" applyFill="1" applyBorder="1"/>
    <xf numFmtId="0" fontId="0" fillId="6" borderId="4" xfId="0" applyFill="1" applyBorder="1"/>
    <xf numFmtId="0" fontId="0" fillId="0" borderId="0" xfId="0" applyBorder="1"/>
    <xf numFmtId="0" fontId="2" fillId="7" borderId="3" xfId="0" applyFont="1" applyFill="1" applyBorder="1" applyAlignment="1">
      <alignment horizontal="center"/>
    </xf>
    <xf numFmtId="0" fontId="2" fillId="7" borderId="0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0" fontId="0" fillId="7" borderId="5" xfId="0" applyFill="1" applyBorder="1"/>
    <xf numFmtId="0" fontId="0" fillId="7" borderId="8" xfId="0" applyFill="1" applyBorder="1"/>
    <xf numFmtId="166" fontId="0" fillId="7" borderId="6" xfId="0" applyNumberFormat="1" applyFill="1" applyBorder="1"/>
    <xf numFmtId="0" fontId="0" fillId="0" borderId="9" xfId="0" applyBorder="1" applyAlignment="1">
      <alignment horizontal="center"/>
    </xf>
    <xf numFmtId="9" fontId="0" fillId="0" borderId="10" xfId="0" applyNumberFormat="1" applyBorder="1"/>
    <xf numFmtId="0" fontId="0" fillId="0" borderId="12" xfId="0" applyBorder="1" applyAlignment="1">
      <alignment horizontal="center"/>
    </xf>
    <xf numFmtId="9" fontId="0" fillId="0" borderId="13" xfId="0" applyNumberFormat="1" applyBorder="1"/>
    <xf numFmtId="166" fontId="0" fillId="0" borderId="14" xfId="0" applyNumberFormat="1" applyBorder="1"/>
    <xf numFmtId="0" fontId="0" fillId="0" borderId="24" xfId="0" applyBorder="1" applyAlignment="1">
      <alignment horizontal="center"/>
    </xf>
    <xf numFmtId="9" fontId="0" fillId="0" borderId="25" xfId="0" applyNumberFormat="1" applyBorder="1"/>
    <xf numFmtId="166" fontId="0" fillId="0" borderId="26" xfId="0" applyNumberFormat="1" applyBorder="1"/>
    <xf numFmtId="0" fontId="10" fillId="0" borderId="27" xfId="0" applyFont="1" applyBorder="1" applyAlignment="1">
      <alignment horizontal="left" vertical="center" indent="1"/>
    </xf>
    <xf numFmtId="0" fontId="9" fillId="0" borderId="27" xfId="0" applyFont="1" applyBorder="1" applyAlignment="1">
      <alignment horizontal="left" vertical="center" indent="1"/>
    </xf>
    <xf numFmtId="0" fontId="8" fillId="2" borderId="7" xfId="1" applyFont="1" applyBorder="1"/>
  </cellXfs>
  <cellStyles count="2">
    <cellStyle name="Neutro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'GB Invest'!$C$34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'GB Invest'!$B$35:$B$40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'GB Invest'!$C$35:$C$40</c:f>
              <c:numCache>
                <c:formatCode>0%</c:formatCode>
                <c:ptCount val="6"/>
                <c:pt idx="0">
                  <c:v>0.3</c:v>
                </c:pt>
                <c:pt idx="1">
                  <c:v>0.5</c:v>
                </c:pt>
                <c:pt idx="2">
                  <c:v>0.1</c:v>
                </c:pt>
                <c:pt idx="3">
                  <c:v>0.1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AE-4D07-BB05-EF414E1F67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561975</xdr:colOff>
      <xdr:row>0</xdr:row>
      <xdr:rowOff>0</xdr:rowOff>
    </xdr:from>
    <xdr:to>
      <xdr:col>3</xdr:col>
      <xdr:colOff>4600575</xdr:colOff>
      <xdr:row>9</xdr:row>
      <xdr:rowOff>47625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5446C0E-5513-57D1-552B-FAC8470CB2F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7941" b="26715"/>
        <a:stretch/>
      </xdr:blipFill>
      <xdr:spPr>
        <a:xfrm>
          <a:off x="1171575" y="0"/>
          <a:ext cx="8705850" cy="1762125"/>
        </a:xfrm>
        <a:prstGeom prst="rect">
          <a:avLst/>
        </a:prstGeom>
      </xdr:spPr>
    </xdr:pic>
    <xdr:clientData/>
  </xdr:twoCellAnchor>
  <xdr:twoCellAnchor>
    <xdr:from>
      <xdr:col>1</xdr:col>
      <xdr:colOff>4761</xdr:colOff>
      <xdr:row>41</xdr:row>
      <xdr:rowOff>80961</xdr:rowOff>
    </xdr:from>
    <xdr:to>
      <xdr:col>4</xdr:col>
      <xdr:colOff>0</xdr:colOff>
      <xdr:row>56</xdr:row>
      <xdr:rowOff>9524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433D8358-1AA7-B879-64B0-AB4341FD0A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AE19F-4B45-4D51-8438-0B264570B331}">
  <dimension ref="A10:G63"/>
  <sheetViews>
    <sheetView showGridLines="0" tabSelected="1" topLeftCell="A12" workbookViewId="0">
      <selection activeCell="C31" sqref="C31"/>
    </sheetView>
  </sheetViews>
  <sheetFormatPr defaultColWidth="0" defaultRowHeight="15" x14ac:dyDescent="0.25"/>
  <cols>
    <col min="1" max="1" width="9.140625" customWidth="1"/>
    <col min="2" max="2" width="41.5703125" customWidth="1"/>
    <col min="3" max="3" width="28.42578125" customWidth="1"/>
    <col min="4" max="4" width="81.28515625" bestFit="1" customWidth="1"/>
    <col min="5" max="5" width="9.28515625" customWidth="1"/>
    <col min="6" max="6" width="2.28515625" customWidth="1"/>
    <col min="7" max="7" width="3.7109375" customWidth="1"/>
    <col min="8" max="8" width="4.42578125" customWidth="1"/>
    <col min="9" max="9" width="3.7109375" customWidth="1"/>
    <col min="10" max="11" width="9.140625" hidden="1" customWidth="1"/>
    <col min="12" max="16384" width="9.140625" hidden="1"/>
  </cols>
  <sheetData>
    <row r="10" spans="2:6" ht="15.75" thickBot="1" x14ac:dyDescent="0.3"/>
    <row r="11" spans="2:6" ht="26.25" x14ac:dyDescent="0.25">
      <c r="B11" s="9" t="s">
        <v>15</v>
      </c>
      <c r="C11" s="11"/>
      <c r="D11" s="10"/>
    </row>
    <row r="12" spans="2:6" ht="15.75" x14ac:dyDescent="0.25">
      <c r="B12" s="15" t="s">
        <v>13</v>
      </c>
      <c r="C12" s="16"/>
      <c r="D12" s="17">
        <v>5000</v>
      </c>
    </row>
    <row r="13" spans="2:6" ht="15.75" x14ac:dyDescent="0.25">
      <c r="B13" s="18" t="s">
        <v>14</v>
      </c>
      <c r="C13" s="19"/>
      <c r="D13" s="20">
        <v>8.8999999999999999E-3</v>
      </c>
    </row>
    <row r="14" spans="2:6" ht="16.5" thickBot="1" x14ac:dyDescent="0.3">
      <c r="B14" s="21" t="s">
        <v>34</v>
      </c>
      <c r="C14" s="22"/>
      <c r="D14" s="23">
        <f>Salario*30%</f>
        <v>1500</v>
      </c>
    </row>
    <row r="15" spans="2:6" ht="15.75" thickBot="1" x14ac:dyDescent="0.3">
      <c r="F15" s="8"/>
    </row>
    <row r="16" spans="2:6" ht="29.25" customHeight="1" x14ac:dyDescent="0.25">
      <c r="B16" s="12" t="s">
        <v>6</v>
      </c>
      <c r="C16" s="13"/>
      <c r="D16" s="14"/>
    </row>
    <row r="17" spans="1:5" ht="15.75" x14ac:dyDescent="0.25">
      <c r="B17" s="24" t="s">
        <v>0</v>
      </c>
      <c r="C17" s="25"/>
      <c r="D17" s="26">
        <v>1500</v>
      </c>
    </row>
    <row r="18" spans="1:5" ht="15.75" x14ac:dyDescent="0.25">
      <c r="B18" s="27" t="s">
        <v>1</v>
      </c>
      <c r="C18" s="28"/>
      <c r="D18" s="29">
        <v>1</v>
      </c>
      <c r="E18" s="7"/>
    </row>
    <row r="19" spans="1:5" ht="15.75" x14ac:dyDescent="0.25">
      <c r="B19" s="27" t="s">
        <v>2</v>
      </c>
      <c r="C19" s="28"/>
      <c r="D19" s="30">
        <v>1.0789999999999999E-2</v>
      </c>
    </row>
    <row r="20" spans="1:5" ht="15.75" x14ac:dyDescent="0.25">
      <c r="B20" s="31" t="s">
        <v>3</v>
      </c>
      <c r="C20" s="32"/>
      <c r="D20" s="33">
        <f>FV(tx_mensal,qtd_anos*12,Aporte*-1)</f>
        <v>19107.579000834838</v>
      </c>
    </row>
    <row r="21" spans="1:5" ht="16.5" thickBot="1" x14ac:dyDescent="0.3">
      <c r="B21" s="34" t="s">
        <v>4</v>
      </c>
      <c r="C21" s="35"/>
      <c r="D21" s="36">
        <f>patrimonio*Rendimento_Carteira</f>
        <v>170.05745310743006</v>
      </c>
    </row>
    <row r="22" spans="1:5" ht="15.75" thickBot="1" x14ac:dyDescent="0.3"/>
    <row r="23" spans="1:5" ht="27.75" customHeight="1" x14ac:dyDescent="0.25">
      <c r="B23" s="12" t="s">
        <v>5</v>
      </c>
      <c r="C23" s="13"/>
      <c r="D23" s="46" t="s">
        <v>7</v>
      </c>
    </row>
    <row r="24" spans="1:5" ht="15.75" x14ac:dyDescent="0.25">
      <c r="A24" s="3">
        <v>2</v>
      </c>
      <c r="B24" s="37" t="s">
        <v>8</v>
      </c>
      <c r="C24" s="38">
        <f>FV(tx_mensal,$A24*12,Aporte*-1)</f>
        <v>40841.440946467825</v>
      </c>
      <c r="D24" s="39">
        <f>C24*Rendimento_Carteira</f>
        <v>363.48882442356364</v>
      </c>
    </row>
    <row r="25" spans="1:5" ht="15.75" x14ac:dyDescent="0.25">
      <c r="A25" s="3">
        <v>5</v>
      </c>
      <c r="B25" s="40" t="s">
        <v>9</v>
      </c>
      <c r="C25" s="41">
        <f>FV(tx_mensal,$A25*12,Aporte*-1)</f>
        <v>125665.37099773147</v>
      </c>
      <c r="D25" s="42">
        <f>C25*Rendimento_Carteira</f>
        <v>1118.4218018798101</v>
      </c>
    </row>
    <row r="26" spans="1:5" ht="15.75" x14ac:dyDescent="0.25">
      <c r="A26" s="3">
        <v>10</v>
      </c>
      <c r="B26" s="40" t="s">
        <v>10</v>
      </c>
      <c r="C26" s="41">
        <f>FV(tx_mensal,$A26*12,Aporte*-1)</f>
        <v>364926.3187952583</v>
      </c>
      <c r="D26" s="42">
        <f>C26*Rendimento_Carteira</f>
        <v>3247.8442372777986</v>
      </c>
    </row>
    <row r="27" spans="1:5" ht="15.75" x14ac:dyDescent="0.25">
      <c r="A27" s="3">
        <v>20</v>
      </c>
      <c r="B27" s="40" t="s">
        <v>11</v>
      </c>
      <c r="C27" s="41">
        <f>FV(tx_mensal,$A27*12,Aporte*-1)</f>
        <v>1687797.600145621</v>
      </c>
      <c r="D27" s="42">
        <f>C27*Rendimento_Carteira</f>
        <v>15021.398641296028</v>
      </c>
    </row>
    <row r="28" spans="1:5" ht="16.5" thickBot="1" x14ac:dyDescent="0.3">
      <c r="A28" s="3">
        <v>30</v>
      </c>
      <c r="B28" s="43" t="s">
        <v>12</v>
      </c>
      <c r="C28" s="44">
        <f>FV(tx_mensal,$A28*12,Aporte*-1)</f>
        <v>6483254.4825070715</v>
      </c>
      <c r="D28" s="45">
        <f>C28*Rendimento_Carteira</f>
        <v>57700.964894312936</v>
      </c>
    </row>
    <row r="30" spans="1:5" ht="15.75" thickBot="1" x14ac:dyDescent="0.3"/>
    <row r="31" spans="1:5" x14ac:dyDescent="0.25">
      <c r="B31" s="52" t="s">
        <v>21</v>
      </c>
      <c r="C31" s="74" t="s">
        <v>17</v>
      </c>
      <c r="D31" s="53" t="str">
        <f>VLOOKUP('GB Invest'!$C$31,Tbl_Chaves!$A$24:$B$26,2,)</f>
        <v>Foco em segurança e renda fixa; rejeita riscos em troca de estabilidade.</v>
      </c>
    </row>
    <row r="32" spans="1:5" x14ac:dyDescent="0.25">
      <c r="B32" s="54" t="s">
        <v>20</v>
      </c>
      <c r="C32" s="55">
        <f>Aporte</f>
        <v>1500</v>
      </c>
      <c r="D32" s="56"/>
    </row>
    <row r="33" spans="2:4" x14ac:dyDescent="0.25">
      <c r="B33" s="1"/>
      <c r="C33" s="57"/>
      <c r="D33" s="2"/>
    </row>
    <row r="34" spans="2:4" x14ac:dyDescent="0.25">
      <c r="B34" s="58" t="s">
        <v>22</v>
      </c>
      <c r="C34" s="59" t="s">
        <v>23</v>
      </c>
      <c r="D34" s="60" t="s">
        <v>24</v>
      </c>
    </row>
    <row r="35" spans="2:4" x14ac:dyDescent="0.25">
      <c r="B35" s="64" t="s">
        <v>25</v>
      </c>
      <c r="C35" s="65">
        <f>VLOOKUP($C$31&amp;"-"&amp;B35,Tbl_Chaves!$A:$D,4,FALSE)</f>
        <v>0.3</v>
      </c>
      <c r="D35" s="6">
        <f>$C35*Aporte</f>
        <v>450</v>
      </c>
    </row>
    <row r="36" spans="2:4" x14ac:dyDescent="0.25">
      <c r="B36" s="66" t="s">
        <v>26</v>
      </c>
      <c r="C36" s="67">
        <f>VLOOKUP($C$31&amp;"-"&amp;B36,Tbl_Chaves!$A:$D,4,FALSE)</f>
        <v>0.5</v>
      </c>
      <c r="D36" s="68">
        <f>$C36*Aporte</f>
        <v>750</v>
      </c>
    </row>
    <row r="37" spans="2:4" x14ac:dyDescent="0.25">
      <c r="B37" s="66" t="s">
        <v>27</v>
      </c>
      <c r="C37" s="67">
        <f>VLOOKUP($C$31&amp;"-"&amp;B37,Tbl_Chaves!$A:$D,4,FALSE)</f>
        <v>0.1</v>
      </c>
      <c r="D37" s="68">
        <f>$C37*Aporte</f>
        <v>150</v>
      </c>
    </row>
    <row r="38" spans="2:4" x14ac:dyDescent="0.25">
      <c r="B38" s="66" t="s">
        <v>30</v>
      </c>
      <c r="C38" s="67">
        <f>VLOOKUP($C$31&amp;"-"&amp;B38,Tbl_Chaves!$A:$D,4,FALSE)</f>
        <v>0.1</v>
      </c>
      <c r="D38" s="68">
        <f>$C38*Aporte</f>
        <v>150</v>
      </c>
    </row>
    <row r="39" spans="2:4" x14ac:dyDescent="0.25">
      <c r="B39" s="66" t="s">
        <v>28</v>
      </c>
      <c r="C39" s="67">
        <f>VLOOKUP($C$31&amp;"-"&amp;B39,Tbl_Chaves!$A:$D,4,FALSE)</f>
        <v>0</v>
      </c>
      <c r="D39" s="68">
        <f>$C39*Aporte</f>
        <v>0</v>
      </c>
    </row>
    <row r="40" spans="2:4" x14ac:dyDescent="0.25">
      <c r="B40" s="69" t="s">
        <v>29</v>
      </c>
      <c r="C40" s="70">
        <f>VLOOKUP($C$31&amp;"-"&amp;B40,Tbl_Chaves!$A:$D,4,FALSE)</f>
        <v>0</v>
      </c>
      <c r="D40" s="71">
        <f>$C40*Aporte</f>
        <v>0</v>
      </c>
    </row>
    <row r="41" spans="2:4" ht="15.75" thickBot="1" x14ac:dyDescent="0.3">
      <c r="B41" s="61"/>
      <c r="C41" s="62"/>
      <c r="D41" s="63">
        <f>SUM(D35:D40)</f>
        <v>1500</v>
      </c>
    </row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</sheetData>
  <mergeCells count="11">
    <mergeCell ref="B16:D16"/>
    <mergeCell ref="B12:C12"/>
    <mergeCell ref="B13:C13"/>
    <mergeCell ref="B14:C14"/>
    <mergeCell ref="B11:D11"/>
    <mergeCell ref="B23:C23"/>
    <mergeCell ref="B17:C17"/>
    <mergeCell ref="B18:C18"/>
    <mergeCell ref="B19:C19"/>
    <mergeCell ref="B20:C20"/>
    <mergeCell ref="B21:C21"/>
  </mergeCells>
  <dataValidations count="1">
    <dataValidation type="list" allowBlank="1" showInputMessage="1" showErrorMessage="1" sqref="C31" xr:uid="{A337B8D0-3F6F-48E9-AC28-FF34759C8D4B}">
      <formula1>"Conservador,Moderado,Agressivo"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44CBE-3A41-4BC5-83BC-A15F266E2179}">
  <dimension ref="A2:H26"/>
  <sheetViews>
    <sheetView workbookViewId="0">
      <selection activeCell="B28" sqref="B28"/>
    </sheetView>
  </sheetViews>
  <sheetFormatPr defaultRowHeight="15" x14ac:dyDescent="0.25"/>
  <cols>
    <col min="1" max="1" width="30.85546875" bestFit="1" customWidth="1"/>
    <col min="2" max="2" width="86.28515625" bestFit="1" customWidth="1"/>
    <col min="3" max="3" width="18.5703125" bestFit="1" customWidth="1"/>
    <col min="7" max="7" width="16.85546875" bestFit="1" customWidth="1"/>
  </cols>
  <sheetData>
    <row r="2" spans="1:8" x14ac:dyDescent="0.25">
      <c r="A2" t="s">
        <v>33</v>
      </c>
      <c r="B2" s="4" t="s">
        <v>21</v>
      </c>
      <c r="C2" s="4" t="s">
        <v>31</v>
      </c>
      <c r="D2" s="4" t="s">
        <v>32</v>
      </c>
    </row>
    <row r="3" spans="1:8" x14ac:dyDescent="0.25">
      <c r="A3" t="str">
        <f>B3&amp;"-"&amp;C3</f>
        <v>Conservador-PAPEL</v>
      </c>
      <c r="B3" t="s">
        <v>17</v>
      </c>
      <c r="C3" s="4" t="s">
        <v>25</v>
      </c>
      <c r="D3" s="49">
        <v>0.3</v>
      </c>
    </row>
    <row r="4" spans="1:8" x14ac:dyDescent="0.25">
      <c r="A4" t="str">
        <f t="shared" ref="A4:A20" si="0">B4&amp;"-"&amp;C4</f>
        <v>Conservador-TIJOLO</v>
      </c>
      <c r="B4" t="s">
        <v>17</v>
      </c>
      <c r="C4" s="4" t="s">
        <v>26</v>
      </c>
      <c r="D4" s="49">
        <v>0.5</v>
      </c>
    </row>
    <row r="5" spans="1:8" x14ac:dyDescent="0.25">
      <c r="A5" t="str">
        <f t="shared" si="0"/>
        <v>Conservador-HÍBRIDOS</v>
      </c>
      <c r="B5" t="s">
        <v>17</v>
      </c>
      <c r="C5" s="4" t="s">
        <v>27</v>
      </c>
      <c r="D5" s="49">
        <v>0.1</v>
      </c>
    </row>
    <row r="6" spans="1:8" x14ac:dyDescent="0.25">
      <c r="A6" t="str">
        <f t="shared" si="0"/>
        <v>Conservador-FOFs</v>
      </c>
      <c r="B6" t="s">
        <v>17</v>
      </c>
      <c r="C6" s="4" t="s">
        <v>30</v>
      </c>
      <c r="D6" s="49">
        <v>0.1</v>
      </c>
      <c r="H6" s="5"/>
    </row>
    <row r="7" spans="1:8" x14ac:dyDescent="0.25">
      <c r="A7" t="str">
        <f t="shared" si="0"/>
        <v>Conservador-DESENVOLVIMENTO</v>
      </c>
      <c r="B7" t="s">
        <v>17</v>
      </c>
      <c r="C7" s="4" t="s">
        <v>28</v>
      </c>
      <c r="D7" s="49">
        <v>0</v>
      </c>
    </row>
    <row r="8" spans="1:8" ht="15.75" thickBot="1" x14ac:dyDescent="0.3">
      <c r="A8" s="47" t="str">
        <f t="shared" si="0"/>
        <v>Conservador-HOTELARIAS</v>
      </c>
      <c r="B8" s="47" t="s">
        <v>17</v>
      </c>
      <c r="C8" s="48" t="s">
        <v>29</v>
      </c>
      <c r="D8" s="50">
        <v>0</v>
      </c>
    </row>
    <row r="9" spans="1:8" x14ac:dyDescent="0.25">
      <c r="A9" t="str">
        <f t="shared" si="0"/>
        <v>Moderado-PAPEL</v>
      </c>
      <c r="B9" t="s">
        <v>18</v>
      </c>
      <c r="C9" s="4" t="s">
        <v>25</v>
      </c>
      <c r="D9" s="51">
        <v>0.32</v>
      </c>
    </row>
    <row r="10" spans="1:8" x14ac:dyDescent="0.25">
      <c r="A10" t="str">
        <f t="shared" si="0"/>
        <v>Moderado-TIJOLO</v>
      </c>
      <c r="B10" t="s">
        <v>18</v>
      </c>
      <c r="C10" s="4" t="s">
        <v>26</v>
      </c>
      <c r="D10" s="51">
        <v>0.35</v>
      </c>
    </row>
    <row r="11" spans="1:8" x14ac:dyDescent="0.25">
      <c r="A11" t="str">
        <f t="shared" si="0"/>
        <v>Moderado-HÍBRIDOS</v>
      </c>
      <c r="B11" t="s">
        <v>18</v>
      </c>
      <c r="C11" s="4" t="s">
        <v>27</v>
      </c>
      <c r="D11" s="49">
        <v>0.08</v>
      </c>
    </row>
    <row r="12" spans="1:8" x14ac:dyDescent="0.25">
      <c r="A12" t="str">
        <f t="shared" si="0"/>
        <v>Moderado-FOFs</v>
      </c>
      <c r="B12" t="s">
        <v>18</v>
      </c>
      <c r="C12" s="4" t="s">
        <v>30</v>
      </c>
      <c r="D12" s="49">
        <v>0.05</v>
      </c>
    </row>
    <row r="13" spans="1:8" x14ac:dyDescent="0.25">
      <c r="A13" t="str">
        <f t="shared" si="0"/>
        <v>Moderado-DESENVOLVIMENTO</v>
      </c>
      <c r="B13" t="s">
        <v>18</v>
      </c>
      <c r="C13" s="4" t="s">
        <v>28</v>
      </c>
      <c r="D13" s="49">
        <v>0.1</v>
      </c>
    </row>
    <row r="14" spans="1:8" ht="15.75" thickBot="1" x14ac:dyDescent="0.3">
      <c r="A14" s="47" t="str">
        <f t="shared" si="0"/>
        <v>Moderado-HOTELARIAS</v>
      </c>
      <c r="B14" s="47" t="s">
        <v>18</v>
      </c>
      <c r="C14" s="48" t="s">
        <v>29</v>
      </c>
      <c r="D14" s="50">
        <v>0.1</v>
      </c>
    </row>
    <row r="15" spans="1:8" x14ac:dyDescent="0.25">
      <c r="A15" t="str">
        <f t="shared" si="0"/>
        <v>Agressivo-PAPEL</v>
      </c>
      <c r="B15" t="s">
        <v>19</v>
      </c>
      <c r="C15" s="4" t="s">
        <v>25</v>
      </c>
      <c r="D15" s="49">
        <v>0.5</v>
      </c>
    </row>
    <row r="16" spans="1:8" x14ac:dyDescent="0.25">
      <c r="A16" t="str">
        <f t="shared" si="0"/>
        <v>Agressivo-TIJOLO</v>
      </c>
      <c r="B16" t="s">
        <v>19</v>
      </c>
      <c r="C16" s="4" t="s">
        <v>26</v>
      </c>
      <c r="D16" s="49">
        <v>0.1</v>
      </c>
    </row>
    <row r="17" spans="1:4" x14ac:dyDescent="0.25">
      <c r="A17" t="str">
        <f t="shared" si="0"/>
        <v>Agressivo-HÍBRIDOS</v>
      </c>
      <c r="B17" t="s">
        <v>19</v>
      </c>
      <c r="C17" s="4" t="s">
        <v>27</v>
      </c>
      <c r="D17" s="49">
        <v>0.05</v>
      </c>
    </row>
    <row r="18" spans="1:4" x14ac:dyDescent="0.25">
      <c r="A18" t="str">
        <f t="shared" si="0"/>
        <v>Agressivo-FOFs</v>
      </c>
      <c r="B18" t="s">
        <v>19</v>
      </c>
      <c r="C18" s="4" t="s">
        <v>30</v>
      </c>
      <c r="D18" s="49">
        <v>0.05</v>
      </c>
    </row>
    <row r="19" spans="1:4" x14ac:dyDescent="0.25">
      <c r="A19" t="str">
        <f t="shared" si="0"/>
        <v>Agressivo-DESENVOLVIMENTO</v>
      </c>
      <c r="B19" t="s">
        <v>19</v>
      </c>
      <c r="C19" s="4" t="s">
        <v>28</v>
      </c>
      <c r="D19" s="49">
        <v>0.2</v>
      </c>
    </row>
    <row r="20" spans="1:4" x14ac:dyDescent="0.25">
      <c r="A20" t="str">
        <f t="shared" si="0"/>
        <v>Agressivo-HOTELARIAS</v>
      </c>
      <c r="B20" t="s">
        <v>19</v>
      </c>
      <c r="C20" s="4" t="s">
        <v>29</v>
      </c>
      <c r="D20" s="49">
        <v>0.1</v>
      </c>
    </row>
    <row r="22" spans="1:4" ht="15.75" thickBot="1" x14ac:dyDescent="0.3"/>
    <row r="23" spans="1:4" ht="15.75" thickBot="1" x14ac:dyDescent="0.3">
      <c r="A23" s="72" t="s">
        <v>16</v>
      </c>
      <c r="B23" s="72" t="s">
        <v>35</v>
      </c>
    </row>
    <row r="24" spans="1:4" ht="15.75" thickBot="1" x14ac:dyDescent="0.3">
      <c r="A24" s="72" t="s">
        <v>17</v>
      </c>
      <c r="B24" s="73" t="s">
        <v>36</v>
      </c>
    </row>
    <row r="25" spans="1:4" ht="15.75" thickBot="1" x14ac:dyDescent="0.3">
      <c r="A25" s="72" t="s">
        <v>18</v>
      </c>
      <c r="B25" s="73" t="s">
        <v>37</v>
      </c>
    </row>
    <row r="26" spans="1:4" ht="15.75" thickBot="1" x14ac:dyDescent="0.3">
      <c r="A26" s="72" t="s">
        <v>19</v>
      </c>
      <c r="B26" s="73" t="s">
        <v>38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GB Invest</vt:lpstr>
      <vt:lpstr>Tbl_Chaves</vt:lpstr>
      <vt:lpstr>Aporte</vt:lpstr>
      <vt:lpstr>patrimonio</vt:lpstr>
      <vt:lpstr>qtd_anos</vt:lpstr>
      <vt:lpstr>Rendimento_Carteira</vt:lpstr>
      <vt:lpstr>Salario</vt:lpstr>
      <vt:lpstr>sugestao_investimento</vt:lpstr>
      <vt:lpstr>tx_mensal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gabrielcamargogsilva@gmail.com</dc:creator>
  <cp:lastModifiedBy>gabrielcamargogsilva@gmail.com</cp:lastModifiedBy>
  <dcterms:created xsi:type="dcterms:W3CDTF">2026-09-22T13:18:46Z</dcterms:created>
  <dcterms:modified xsi:type="dcterms:W3CDTF">2026-09-22T15:20:17Z</dcterms:modified>
</cp:coreProperties>
</file>